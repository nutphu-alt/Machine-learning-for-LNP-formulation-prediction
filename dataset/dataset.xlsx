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SI\Desktop\งาน\LNP\Results\Mos\ML prediction\"/>
    </mc:Choice>
  </mc:AlternateContent>
  <xr:revisionPtr revIDLastSave="0" documentId="13_ncr:1_{EBA88E5C-1318-4A08-8AFD-101C6FDA09C5}" xr6:coauthVersionLast="47" xr6:coauthVersionMax="47" xr10:uidLastSave="{00000000-0000-0000-0000-000000000000}"/>
  <bookViews>
    <workbookView xWindow="-120" yWindow="-120" windowWidth="29040" windowHeight="15720" xr2:uid="{6401EEBE-4C37-490F-AE3F-86C6020B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</calcChain>
</file>

<file path=xl/sharedStrings.xml><?xml version="1.0" encoding="utf-8"?>
<sst xmlns="http://schemas.openxmlformats.org/spreadsheetml/2006/main" count="38" uniqueCount="38">
  <si>
    <t>Run</t>
  </si>
  <si>
    <t>Cholesterol (%)</t>
  </si>
  <si>
    <t>pH</t>
  </si>
  <si>
    <t>PDI</t>
  </si>
  <si>
    <t>%EE</t>
  </si>
  <si>
    <t>MFI</t>
  </si>
  <si>
    <t>non-lysed LNP</t>
  </si>
  <si>
    <t>Lysed LNP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</si>
  <si>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</si>
  <si>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</si>
  <si>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</si>
  <si>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</si>
  <si>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</si>
  <si>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</si>
  <si>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</si>
  <si>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</si>
  <si>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</si>
  <si>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</si>
  <si>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</si>
  <si>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</si>
  <si>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</si>
  <si>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</si>
  <si>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</si>
  <si>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</si>
  <si>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</si>
  <si>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</si>
  <si>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</si>
  <si>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</si>
  <si>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</si>
  <si>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</si>
  <si>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</si>
  <si>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</si>
  <si>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Size (nm)</t>
  </si>
  <si>
    <t>Helper lipid (%)</t>
  </si>
  <si>
    <t>Ionizable lipid (%)</t>
  </si>
  <si>
    <t>PEG lipid (%)</t>
  </si>
  <si>
    <t>A</t>
  </si>
  <si>
    <t>%Positive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</si>
</sst>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4253-79F0-41A2-B4E6-4D1D0A8690CA}">
  <dimension ref="A1:M26"/>
  <sheetViews>
    <sheetView tabSelected="1" workbookViewId="0">
      <selection activeCell="P11" sqref="P11"/>
    </sheetView>
  </sheetViews>
  <sheetFormatPr defaultRowHeight="15"/>
  <sheetData>
    <row r="1" spans="1:13" ht="45">
      <c r="A1" s="1" t="s">
        <v>0</v>
      </c>
      <c r="B1" s="1" t="s">
        <v>35</v>
      </c>
      <c r="C1" s="1" t="s">
        <v>33</v>
      </c>
      <c r="D1" s="1" t="s">
        <v>1</v>
      </c>
      <c r="E1" s="1" t="s">
        <v>34</v>
      </c>
      <c r="F1" s="1" t="s">
        <v>2</v>
      </c>
      <c r="G1" s="1" t="s">
        <v>32</v>
      </c>
      <c r="H1" s="1" t="s">
        <v>3</v>
      </c>
      <c r="I1" s="2" t="s">
        <v>4</v>
      </c>
      <c r="J1" s="1" t="s">
        <v>5</v>
      </c>
      <c r="K1" s="1" t="s">
        <v>37</v>
      </c>
      <c r="L1" s="1" t="s">
        <v>6</v>
      </c>
      <c r="M1" s="1" t="s">
        <v>7</v>
      </c>
    </row>
    <row r="2" spans="1:13">
      <c r="A2" s="6" t="s">
        <v>36</v>
      </c>
      <c r="B2" s="6">
        <v>1.5</v>
      </c>
      <c r="C2" s="6">
        <v>15</v>
      </c>
      <c r="D2" s="6">
        <v>38.5</v>
      </c>
      <c r="E2" s="6">
        <v>45</v>
      </c>
      <c r="F2" s="6">
        <v>4</v>
      </c>
      <c r="G2" s="6">
        <v>170.9</v>
      </c>
      <c r="H2" s="6">
        <v>0.08</v>
      </c>
      <c r="I2" s="6">
        <v>74.03</v>
      </c>
      <c r="J2" s="6">
        <v>42477.33</v>
      </c>
      <c r="K2" s="6">
        <v>72.97</v>
      </c>
      <c r="L2" s="6">
        <v>25.93</v>
      </c>
      <c r="M2" s="6">
        <v>99.93</v>
      </c>
    </row>
    <row r="3" spans="1:13">
      <c r="A3" s="3" t="s">
        <v>8</v>
      </c>
      <c r="B3" s="3">
        <v>1.5</v>
      </c>
      <c r="C3" s="3">
        <v>12.5</v>
      </c>
      <c r="D3" s="3">
        <v>33.5</v>
      </c>
      <c r="E3" s="4">
        <f t="shared" ref="E3:E26" si="0">100-B3-C3-D3</f>
        <v>52.5</v>
      </c>
      <c r="F3" s="3">
        <v>4</v>
      </c>
      <c r="G3" s="4">
        <v>155.9</v>
      </c>
      <c r="H3" s="4">
        <v>0.12889999999999999</v>
      </c>
      <c r="I3" s="5">
        <f t="shared" ref="I3:I26" si="1">(M3-L3)*100/M3</f>
        <v>74.503288918873338</v>
      </c>
      <c r="J3" s="4">
        <v>19598</v>
      </c>
      <c r="K3" s="4">
        <v>42.7</v>
      </c>
      <c r="L3" s="4">
        <v>30.234000000000002</v>
      </c>
      <c r="M3" s="4">
        <v>118.58</v>
      </c>
    </row>
    <row r="4" spans="1:13">
      <c r="A4" s="4" t="s">
        <v>9</v>
      </c>
      <c r="B4" s="3">
        <v>1.5</v>
      </c>
      <c r="C4" s="3">
        <v>12.5</v>
      </c>
      <c r="D4" s="3">
        <v>43.5</v>
      </c>
      <c r="E4" s="4">
        <f t="shared" si="0"/>
        <v>42.5</v>
      </c>
      <c r="F4" s="3">
        <v>4</v>
      </c>
      <c r="G4" s="4">
        <v>137</v>
      </c>
      <c r="H4" s="4">
        <v>8.7569999999999992E-3</v>
      </c>
      <c r="I4" s="5">
        <f t="shared" si="1"/>
        <v>76.921203035697545</v>
      </c>
      <c r="J4" s="4">
        <v>25817</v>
      </c>
      <c r="K4" s="4">
        <v>57.9</v>
      </c>
      <c r="L4" s="4">
        <v>24.632000000000001</v>
      </c>
      <c r="M4" s="4">
        <v>106.73</v>
      </c>
    </row>
    <row r="5" spans="1:13">
      <c r="A5" s="3" t="s">
        <v>10</v>
      </c>
      <c r="B5" s="3">
        <v>1.5</v>
      </c>
      <c r="C5" s="3">
        <v>17.5</v>
      </c>
      <c r="D5" s="3">
        <v>33.5</v>
      </c>
      <c r="E5" s="4">
        <f t="shared" si="0"/>
        <v>47.5</v>
      </c>
      <c r="F5" s="3">
        <v>4</v>
      </c>
      <c r="G5" s="4">
        <v>151.1</v>
      </c>
      <c r="H5" s="4">
        <v>6.3549999999999995E-2</v>
      </c>
      <c r="I5" s="5">
        <f t="shared" si="1"/>
        <v>66.629163318153402</v>
      </c>
      <c r="J5" s="4">
        <v>36521</v>
      </c>
      <c r="K5" s="4">
        <v>68.3</v>
      </c>
      <c r="L5" s="4">
        <v>37.372</v>
      </c>
      <c r="M5" s="4">
        <v>111.99</v>
      </c>
    </row>
    <row r="6" spans="1:13">
      <c r="A6" s="3" t="s">
        <v>11</v>
      </c>
      <c r="B6" s="3">
        <v>1.5</v>
      </c>
      <c r="C6" s="3">
        <v>17.5</v>
      </c>
      <c r="D6" s="3">
        <v>43.5</v>
      </c>
      <c r="E6" s="4">
        <f t="shared" si="0"/>
        <v>37.5</v>
      </c>
      <c r="F6" s="3">
        <v>4</v>
      </c>
      <c r="G6" s="4">
        <v>147.9</v>
      </c>
      <c r="H6" s="4">
        <v>0.1182</v>
      </c>
      <c r="I6" s="5">
        <f t="shared" si="1"/>
        <v>79.785858585858591</v>
      </c>
      <c r="J6" s="4">
        <v>45973</v>
      </c>
      <c r="K6" s="4">
        <v>81.8</v>
      </c>
      <c r="L6" s="4">
        <v>20.012</v>
      </c>
      <c r="M6" s="4">
        <v>99</v>
      </c>
    </row>
    <row r="7" spans="1:13">
      <c r="A7" s="3" t="s">
        <v>12</v>
      </c>
      <c r="B7" s="3">
        <v>1</v>
      </c>
      <c r="C7" s="3">
        <v>15</v>
      </c>
      <c r="D7" s="3">
        <v>33.5</v>
      </c>
      <c r="E7" s="4">
        <f t="shared" si="0"/>
        <v>50.5</v>
      </c>
      <c r="F7" s="3">
        <v>4</v>
      </c>
      <c r="G7" s="4">
        <v>158.69999999999999</v>
      </c>
      <c r="H7" s="4">
        <v>7.1569999999999995E-2</v>
      </c>
      <c r="I7" s="5">
        <f t="shared" si="1"/>
        <v>69.854340321630033</v>
      </c>
      <c r="J7" s="4">
        <v>35272</v>
      </c>
      <c r="K7" s="4">
        <v>64.5</v>
      </c>
      <c r="L7" s="4">
        <v>35.804000000000002</v>
      </c>
      <c r="M7" s="4">
        <v>118.77</v>
      </c>
    </row>
    <row r="8" spans="1:13">
      <c r="A8" s="3" t="s">
        <v>13</v>
      </c>
      <c r="B8" s="3">
        <v>1</v>
      </c>
      <c r="C8" s="3">
        <v>15</v>
      </c>
      <c r="D8" s="3">
        <v>43.5</v>
      </c>
      <c r="E8" s="4">
        <f t="shared" si="0"/>
        <v>40.5</v>
      </c>
      <c r="F8" s="3">
        <v>4</v>
      </c>
      <c r="G8" s="4">
        <v>158.80000000000001</v>
      </c>
      <c r="H8" s="4">
        <v>0.15970000000000001</v>
      </c>
      <c r="I8" s="5">
        <f t="shared" si="1"/>
        <v>69.933996467416563</v>
      </c>
      <c r="J8" s="4">
        <v>37278</v>
      </c>
      <c r="K8" s="4">
        <v>71.2</v>
      </c>
      <c r="L8" s="4">
        <v>32.341999999999999</v>
      </c>
      <c r="M8" s="4">
        <v>107.57</v>
      </c>
    </row>
    <row r="9" spans="1:13">
      <c r="A9" s="3" t="s">
        <v>14</v>
      </c>
      <c r="B9" s="3">
        <v>2</v>
      </c>
      <c r="C9" s="3">
        <v>15</v>
      </c>
      <c r="D9" s="3">
        <v>33.5</v>
      </c>
      <c r="E9" s="4">
        <f t="shared" si="0"/>
        <v>49.5</v>
      </c>
      <c r="F9" s="3">
        <v>4</v>
      </c>
      <c r="G9" s="4">
        <v>113.4</v>
      </c>
      <c r="H9" s="4">
        <v>0.1205</v>
      </c>
      <c r="I9" s="5">
        <f t="shared" si="1"/>
        <v>73.371221688978693</v>
      </c>
      <c r="J9" s="4">
        <v>20641</v>
      </c>
      <c r="K9" s="4">
        <v>48.8</v>
      </c>
      <c r="L9" s="4">
        <v>31.626999999999999</v>
      </c>
      <c r="M9" s="4">
        <v>118.77</v>
      </c>
    </row>
    <row r="10" spans="1:13">
      <c r="A10" s="3" t="s">
        <v>15</v>
      </c>
      <c r="B10" s="3">
        <v>2</v>
      </c>
      <c r="C10" s="3">
        <v>15</v>
      </c>
      <c r="D10" s="3">
        <v>43.5</v>
      </c>
      <c r="E10" s="4">
        <f t="shared" si="0"/>
        <v>39.5</v>
      </c>
      <c r="F10" s="3">
        <v>4</v>
      </c>
      <c r="G10" s="4">
        <v>145.19999999999999</v>
      </c>
      <c r="H10" s="4">
        <v>0.1532</v>
      </c>
      <c r="I10" s="5">
        <f t="shared" si="1"/>
        <v>80.606793669992953</v>
      </c>
      <c r="J10" s="4">
        <v>21859</v>
      </c>
      <c r="K10" s="4">
        <v>50.2</v>
      </c>
      <c r="L10" s="4">
        <v>19.239999999999998</v>
      </c>
      <c r="M10" s="4">
        <v>99.21</v>
      </c>
    </row>
    <row r="11" spans="1:13">
      <c r="A11" s="3" t="s">
        <v>16</v>
      </c>
      <c r="B11" s="3">
        <v>1</v>
      </c>
      <c r="C11" s="3">
        <v>12.5</v>
      </c>
      <c r="D11" s="3">
        <v>38.5</v>
      </c>
      <c r="E11" s="4">
        <f t="shared" si="0"/>
        <v>48</v>
      </c>
      <c r="F11" s="3">
        <v>4</v>
      </c>
      <c r="G11" s="4">
        <v>157.1</v>
      </c>
      <c r="H11" s="4">
        <v>9.6269999999999994E-2</v>
      </c>
      <c r="I11" s="5">
        <f t="shared" si="1"/>
        <v>70.798704803022119</v>
      </c>
      <c r="J11" s="4">
        <v>24884</v>
      </c>
      <c r="K11" s="4">
        <v>57.1</v>
      </c>
      <c r="L11" s="4">
        <v>32.466000000000001</v>
      </c>
      <c r="M11" s="4">
        <v>111.18</v>
      </c>
    </row>
    <row r="12" spans="1:13">
      <c r="A12" s="3" t="s">
        <v>17</v>
      </c>
      <c r="B12" s="3">
        <v>1</v>
      </c>
      <c r="C12" s="3">
        <v>17.5</v>
      </c>
      <c r="D12" s="3">
        <v>38.5</v>
      </c>
      <c r="E12" s="4">
        <f t="shared" si="0"/>
        <v>43</v>
      </c>
      <c r="F12" s="3">
        <v>4</v>
      </c>
      <c r="G12" s="4">
        <v>150.5</v>
      </c>
      <c r="H12" s="4">
        <v>0.1215</v>
      </c>
      <c r="I12" s="5">
        <f t="shared" si="1"/>
        <v>73.675750021490572</v>
      </c>
      <c r="J12" s="4">
        <v>47102</v>
      </c>
      <c r="K12" s="4">
        <v>80.599999999999994</v>
      </c>
      <c r="L12" s="4">
        <v>30.623000000000001</v>
      </c>
      <c r="M12" s="4">
        <v>116.33</v>
      </c>
    </row>
    <row r="13" spans="1:13">
      <c r="A13" s="3" t="s">
        <v>18</v>
      </c>
      <c r="B13" s="3">
        <v>2</v>
      </c>
      <c r="C13" s="3">
        <v>12.5</v>
      </c>
      <c r="D13" s="3">
        <v>38.5</v>
      </c>
      <c r="E13" s="4">
        <f t="shared" si="0"/>
        <v>47</v>
      </c>
      <c r="F13" s="3">
        <v>4</v>
      </c>
      <c r="G13" s="4">
        <v>148.1</v>
      </c>
      <c r="H13" s="4">
        <v>9.8499999999999994E-3</v>
      </c>
      <c r="I13" s="5">
        <f t="shared" si="1"/>
        <v>69.43982074263765</v>
      </c>
      <c r="J13" s="4">
        <v>28958</v>
      </c>
      <c r="K13" s="4">
        <v>62.2</v>
      </c>
      <c r="L13" s="4">
        <v>28.640999999999998</v>
      </c>
      <c r="M13" s="4">
        <v>93.72</v>
      </c>
    </row>
    <row r="14" spans="1:13">
      <c r="A14" s="3" t="s">
        <v>19</v>
      </c>
      <c r="B14" s="3">
        <v>2</v>
      </c>
      <c r="C14" s="3">
        <v>17.5</v>
      </c>
      <c r="D14" s="3">
        <v>38.5</v>
      </c>
      <c r="E14" s="4">
        <f t="shared" si="0"/>
        <v>42</v>
      </c>
      <c r="F14" s="3">
        <v>4</v>
      </c>
      <c r="G14" s="4">
        <v>139.19999999999999</v>
      </c>
      <c r="H14" s="4">
        <v>9.2230000000000006E-2</v>
      </c>
      <c r="I14" s="5">
        <f t="shared" si="1"/>
        <v>75.917500221297686</v>
      </c>
      <c r="J14" s="4">
        <v>33672</v>
      </c>
      <c r="K14" s="4">
        <v>68</v>
      </c>
      <c r="L14" s="4">
        <v>27.206</v>
      </c>
      <c r="M14" s="4">
        <v>112.97</v>
      </c>
    </row>
    <row r="15" spans="1:13">
      <c r="A15" s="3" t="s">
        <v>20</v>
      </c>
      <c r="B15" s="3">
        <v>1.5</v>
      </c>
      <c r="C15" s="3">
        <v>12.5</v>
      </c>
      <c r="D15" s="3">
        <v>38.5</v>
      </c>
      <c r="E15" s="4">
        <f t="shared" si="0"/>
        <v>47.5</v>
      </c>
      <c r="F15" s="3">
        <v>3</v>
      </c>
      <c r="G15" s="4">
        <v>193</v>
      </c>
      <c r="H15" s="4">
        <v>0.1646</v>
      </c>
      <c r="I15" s="5">
        <f t="shared" si="1"/>
        <v>69.018186610437525</v>
      </c>
      <c r="J15" s="4">
        <v>17720</v>
      </c>
      <c r="K15" s="4">
        <v>44.3</v>
      </c>
      <c r="L15" s="4">
        <v>23.509</v>
      </c>
      <c r="M15" s="4">
        <v>75.88</v>
      </c>
    </row>
    <row r="16" spans="1:13">
      <c r="A16" s="4" t="s">
        <v>21</v>
      </c>
      <c r="B16" s="3">
        <v>1.5</v>
      </c>
      <c r="C16" s="3">
        <v>12.5</v>
      </c>
      <c r="D16" s="3">
        <v>38.5</v>
      </c>
      <c r="E16" s="4">
        <f t="shared" si="0"/>
        <v>47.5</v>
      </c>
      <c r="F16" s="3">
        <v>5</v>
      </c>
      <c r="G16" s="4">
        <v>169.2</v>
      </c>
      <c r="H16" s="4">
        <v>7.1730000000000002E-2</v>
      </c>
      <c r="I16" s="5">
        <f t="shared" si="1"/>
        <v>77.114273927392745</v>
      </c>
      <c r="J16" s="4">
        <v>25301</v>
      </c>
      <c r="K16" s="4">
        <v>57</v>
      </c>
      <c r="L16" s="4">
        <v>22.19</v>
      </c>
      <c r="M16" s="4">
        <v>96.96</v>
      </c>
    </row>
    <row r="17" spans="1:13">
      <c r="A17" s="3" t="s">
        <v>22</v>
      </c>
      <c r="B17" s="3">
        <v>1.5</v>
      </c>
      <c r="C17" s="3">
        <v>17.5</v>
      </c>
      <c r="D17" s="3">
        <v>38.5</v>
      </c>
      <c r="E17" s="4">
        <f t="shared" si="0"/>
        <v>42.5</v>
      </c>
      <c r="F17" s="3">
        <v>3</v>
      </c>
      <c r="G17" s="4">
        <v>155.5</v>
      </c>
      <c r="H17" s="4">
        <v>0.112</v>
      </c>
      <c r="I17" s="5">
        <f t="shared" si="1"/>
        <v>77.026122524867546</v>
      </c>
      <c r="J17" s="4">
        <v>28870</v>
      </c>
      <c r="K17" s="4">
        <v>63.3</v>
      </c>
      <c r="L17" s="4">
        <v>24.713000000000001</v>
      </c>
      <c r="M17" s="4">
        <v>107.57</v>
      </c>
    </row>
    <row r="18" spans="1:13">
      <c r="A18" s="3" t="s">
        <v>23</v>
      </c>
      <c r="B18" s="3">
        <v>1.5</v>
      </c>
      <c r="C18" s="3">
        <v>17.5</v>
      </c>
      <c r="D18" s="3">
        <v>38.5</v>
      </c>
      <c r="E18" s="4">
        <f t="shared" si="0"/>
        <v>42.5</v>
      </c>
      <c r="F18" s="3">
        <v>5</v>
      </c>
      <c r="G18" s="4">
        <v>154.1</v>
      </c>
      <c r="H18" s="4">
        <v>6.4589999999999995E-2</v>
      </c>
      <c r="I18" s="5">
        <f t="shared" si="1"/>
        <v>64.840869054609513</v>
      </c>
      <c r="J18" s="4">
        <v>50779</v>
      </c>
      <c r="K18" s="4">
        <v>80.599999999999994</v>
      </c>
      <c r="L18" s="4">
        <v>29.937999999999999</v>
      </c>
      <c r="M18" s="4">
        <v>85.15</v>
      </c>
    </row>
    <row r="19" spans="1:13">
      <c r="A19" s="3" t="s">
        <v>24</v>
      </c>
      <c r="B19" s="3">
        <v>1</v>
      </c>
      <c r="C19" s="3">
        <v>15</v>
      </c>
      <c r="D19" s="3">
        <v>38.5</v>
      </c>
      <c r="E19" s="4">
        <f t="shared" si="0"/>
        <v>45.5</v>
      </c>
      <c r="F19" s="3">
        <v>3</v>
      </c>
      <c r="G19" s="4">
        <v>153.19999999999999</v>
      </c>
      <c r="H19" s="4">
        <v>0.12429999999999999</v>
      </c>
      <c r="I19" s="5">
        <f t="shared" si="1"/>
        <v>73.321133535501403</v>
      </c>
      <c r="J19" s="4">
        <v>32070</v>
      </c>
      <c r="K19" s="4">
        <v>63.5</v>
      </c>
      <c r="L19" s="4">
        <v>25.513000000000002</v>
      </c>
      <c r="M19" s="4">
        <v>95.63</v>
      </c>
    </row>
    <row r="20" spans="1:13">
      <c r="A20" s="3" t="s">
        <v>25</v>
      </c>
      <c r="B20" s="3">
        <v>1</v>
      </c>
      <c r="C20" s="3">
        <v>15</v>
      </c>
      <c r="D20" s="3">
        <v>38.5</v>
      </c>
      <c r="E20" s="4">
        <f t="shared" si="0"/>
        <v>45.5</v>
      </c>
      <c r="F20" s="3">
        <v>5</v>
      </c>
      <c r="G20" s="4">
        <v>157.9</v>
      </c>
      <c r="H20" s="4">
        <v>0.1273</v>
      </c>
      <c r="I20" s="5">
        <f t="shared" si="1"/>
        <v>83.080464002946059</v>
      </c>
      <c r="J20" s="4">
        <v>36828</v>
      </c>
      <c r="K20" s="4">
        <v>67.7</v>
      </c>
      <c r="L20" s="4">
        <v>18.378</v>
      </c>
      <c r="M20" s="4">
        <v>108.62</v>
      </c>
    </row>
    <row r="21" spans="1:13">
      <c r="A21" s="3" t="s">
        <v>26</v>
      </c>
      <c r="B21" s="3">
        <v>2</v>
      </c>
      <c r="C21" s="3">
        <v>15</v>
      </c>
      <c r="D21" s="3">
        <v>38.5</v>
      </c>
      <c r="E21" s="4">
        <f t="shared" si="0"/>
        <v>44.5</v>
      </c>
      <c r="F21" s="3">
        <v>3</v>
      </c>
      <c r="G21" s="4">
        <v>157.4</v>
      </c>
      <c r="H21" s="4">
        <v>0.1273</v>
      </c>
      <c r="I21" s="5">
        <f t="shared" si="1"/>
        <v>69.864423552696692</v>
      </c>
      <c r="J21" s="4">
        <v>17653</v>
      </c>
      <c r="K21" s="4">
        <v>41.2</v>
      </c>
      <c r="L21" s="4">
        <v>30.452000000000002</v>
      </c>
      <c r="M21" s="4">
        <v>101.05</v>
      </c>
    </row>
    <row r="22" spans="1:13">
      <c r="A22" s="3" t="s">
        <v>27</v>
      </c>
      <c r="B22" s="3">
        <v>2</v>
      </c>
      <c r="C22" s="3">
        <v>15</v>
      </c>
      <c r="D22" s="3">
        <v>38.5</v>
      </c>
      <c r="E22" s="4">
        <f t="shared" si="0"/>
        <v>44.5</v>
      </c>
      <c r="F22" s="3">
        <v>5</v>
      </c>
      <c r="G22" s="4">
        <v>159.6</v>
      </c>
      <c r="H22" s="4">
        <v>7.3749999999999996E-2</v>
      </c>
      <c r="I22" s="5">
        <f t="shared" si="1"/>
        <v>75.621382721245922</v>
      </c>
      <c r="J22" s="4">
        <v>36541</v>
      </c>
      <c r="K22" s="4">
        <v>68.2</v>
      </c>
      <c r="L22" s="4">
        <v>23.167000000000002</v>
      </c>
      <c r="M22" s="4">
        <v>95.03</v>
      </c>
    </row>
    <row r="23" spans="1:13">
      <c r="A23" s="3" t="s">
        <v>28</v>
      </c>
      <c r="B23" s="3">
        <v>1.5</v>
      </c>
      <c r="C23" s="3">
        <v>15</v>
      </c>
      <c r="D23" s="3">
        <v>33.5</v>
      </c>
      <c r="E23" s="4">
        <f t="shared" si="0"/>
        <v>50</v>
      </c>
      <c r="F23" s="3">
        <v>3</v>
      </c>
      <c r="G23" s="4">
        <v>161.30000000000001</v>
      </c>
      <c r="H23" s="4">
        <v>0.1</v>
      </c>
      <c r="I23" s="5">
        <f t="shared" si="1"/>
        <v>70.685982104814656</v>
      </c>
      <c r="J23" s="4">
        <v>21072</v>
      </c>
      <c r="K23" s="4">
        <v>46.5</v>
      </c>
      <c r="L23" s="4">
        <v>27.52</v>
      </c>
      <c r="M23" s="4">
        <v>93.88</v>
      </c>
    </row>
    <row r="24" spans="1:13">
      <c r="A24" s="3" t="s">
        <v>29</v>
      </c>
      <c r="B24" s="3">
        <v>1.5</v>
      </c>
      <c r="C24" s="3">
        <v>15</v>
      </c>
      <c r="D24" s="3">
        <v>33.5</v>
      </c>
      <c r="E24" s="4">
        <f t="shared" si="0"/>
        <v>50</v>
      </c>
      <c r="F24" s="3">
        <v>5</v>
      </c>
      <c r="G24" s="4">
        <v>159.1</v>
      </c>
      <c r="H24" s="4">
        <v>0.1036</v>
      </c>
      <c r="I24" s="5">
        <f t="shared" si="1"/>
        <v>67.201063958408895</v>
      </c>
      <c r="J24" s="4">
        <v>46120</v>
      </c>
      <c r="K24" s="4">
        <v>74.2</v>
      </c>
      <c r="L24" s="4">
        <v>27.128</v>
      </c>
      <c r="M24" s="4">
        <v>82.71</v>
      </c>
    </row>
    <row r="25" spans="1:13">
      <c r="A25" s="3" t="s">
        <v>30</v>
      </c>
      <c r="B25" s="3">
        <v>1.5</v>
      </c>
      <c r="C25" s="3">
        <v>15</v>
      </c>
      <c r="D25" s="3">
        <v>43.5</v>
      </c>
      <c r="E25" s="4">
        <f t="shared" si="0"/>
        <v>40</v>
      </c>
      <c r="F25" s="3">
        <v>3</v>
      </c>
      <c r="G25" s="4">
        <v>145.19999999999999</v>
      </c>
      <c r="H25" s="4">
        <v>0.1457</v>
      </c>
      <c r="I25" s="5">
        <f t="shared" si="1"/>
        <v>67.315117628441826</v>
      </c>
      <c r="J25" s="4">
        <v>25261</v>
      </c>
      <c r="K25" s="4">
        <v>56.9</v>
      </c>
      <c r="L25" s="4">
        <v>30.981999999999999</v>
      </c>
      <c r="M25" s="4">
        <v>94.79</v>
      </c>
    </row>
    <row r="26" spans="1:13">
      <c r="A26" s="3" t="s">
        <v>31</v>
      </c>
      <c r="B26" s="3">
        <v>1.5</v>
      </c>
      <c r="C26" s="3">
        <v>15</v>
      </c>
      <c r="D26" s="3">
        <v>43.5</v>
      </c>
      <c r="E26" s="4">
        <f t="shared" si="0"/>
        <v>40</v>
      </c>
      <c r="F26" s="3">
        <v>5</v>
      </c>
      <c r="G26" s="4">
        <v>149.1</v>
      </c>
      <c r="H26" s="4">
        <v>0.1295</v>
      </c>
      <c r="I26" s="5">
        <f t="shared" si="1"/>
        <v>77.131478224888795</v>
      </c>
      <c r="J26" s="4">
        <v>29764</v>
      </c>
      <c r="K26" s="4">
        <v>62.1</v>
      </c>
      <c r="L26" s="4">
        <v>22.106999999999999</v>
      </c>
      <c r="M26" s="4">
        <v>96.67</v>
      </c>
    </row>
  </sheetData>
  <sortState xmlns:xlrd2="http://schemas.microsoft.com/office/spreadsheetml/2017/richdata2" ref="A2:M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PIYAPONG TIRPATSAKOON</dc:creator>
  <cp:lastModifiedBy>Nut Phueakphud</cp:lastModifiedBy>
  <dcterms:created xsi:type="dcterms:W3CDTF">2025-05-15T03:49:26Z</dcterms:created>
  <dcterms:modified xsi:type="dcterms:W3CDTF">2025-11-12T07:32:45Z</dcterms:modified>
</cp:coreProperties>
</file>